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istorical" sheetId="2" state="visible" r:id="rId4"/>
    <sheet name="Assumptions" sheetId="3" state="visible" r:id="rId5"/>
    <sheet name="Projections" sheetId="4" state="visible" r:id="rId6"/>
    <sheet name="Ratios" sheetId="5" state="visible" r:id="rId7"/>
    <sheet name="Comment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<sst xmlns="http://schemas.openxmlformats.org/spreadsheetml/2006/main" count="138" uniqueCount="100">
  <si>
    <t xml:space="preserve">ITC LIMITED</t>
  </si>
  <si>
    <t xml:space="preserve">3-Statement Revenue Projection Model  |  FY21–FY28</t>
  </si>
  <si>
    <t xml:space="preserve">Analyst:</t>
  </si>
  <si>
    <t xml:space="preserve">Sweta Sahani — BBA Year 2, VIT Chennai</t>
  </si>
  <si>
    <t xml:space="preserve">Date:</t>
  </si>
  <si>
    <t xml:space="preserve">June 2026</t>
  </si>
  <si>
    <t xml:space="preserve">Data Source:</t>
  </si>
  <si>
    <t xml:space="preserve">ITC Annual Reports FY21–FY25 (BSE/NSE Filings)</t>
  </si>
  <si>
    <t xml:space="preserve">Currency:</t>
  </si>
  <si>
    <t xml:space="preserve">Indian Rupees (₹ Crores)</t>
  </si>
  <si>
    <t xml:space="preserve">Projection:</t>
  </si>
  <si>
    <t xml:space="preserve">FY26E – FY28E  |  Bottom-up segment model</t>
  </si>
  <si>
    <t xml:space="preserve">Sheets:  Cover  |  Historical  |  Assumptions  |  Projections  |  Ratios  |  Commentary</t>
  </si>
  <si>
    <t xml:space="preserve">⚠  DISCLAIMER: This model is a student academic exercise built from publicly available ITC annual report data. It does not constitute investment advice. All projections are illustrative.</t>
  </si>
  <si>
    <t xml:space="preserve">ITC LIMITED — HISTORICAL FINANCIALS  (₹ Crores)</t>
  </si>
  <si>
    <t xml:space="preserve">  Metric / Segment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</si>
  <si>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</si>
  <si>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</si>
  <si>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</si>
  <si>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</si>
  <si>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</si>
  <si>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  A. REVENUE BY SEGMENT</t>
  </si>
  <si>
    <t xml:space="preserve">    FMCG — Cigarettes</t>
  </si>
  <si>
    <t xml:space="preserve">    FMCG — Others</t>
  </si>
  <si>
    <t xml:space="preserve">    Hotels</t>
  </si>
  <si>
    <t xml:space="preserve">    Agribusiness</t>
  </si>
  <si>
    <t xml:space="preserve">    Paperboards &amp; Pckgng</t>
  </si>
  <si>
    <t xml:space="preserve">  Total Revenue (Net)</t>
  </si>
  <si>
    <t xml:space="preserve">Source: ITC Annual Reports FY21–FY25 (BSE/NSE Filings); Segment Revenue = Gross Revenue before inter-segment eliminations</t>
  </si>
  <si>
    <t xml:space="preserve">  B. PROFIT &amp; LOSS SUMMARY</t>
  </si>
  <si>
    <t xml:space="preserve">    Total Revenue (Net)</t>
  </si>
  <si>
    <t xml:space="preserve">    EBITDA</t>
  </si>
  <si>
    <t xml:space="preserve">    EBIT (Operating Profit)</t>
  </si>
  <si>
    <t xml:space="preserve">    PBT</t>
  </si>
  <si>
    <t xml:space="preserve">    PAT (Net Profit)</t>
  </si>
  <si>
    <t xml:space="preserve">    OPM %  (EBIT / Revenue)</t>
  </si>
  <si>
    <t xml:space="preserve">    PAT Margin %</t>
  </si>
  <si>
    <t xml:space="preserve">  C. BALANCE SHEET HIGHLIGHTS</t>
  </si>
  <si>
    <t xml:space="preserve">    Total Assets</t>
  </si>
  <si>
    <t xml:space="preserve">    Net Fixed Assets</t>
  </si>
  <si>
    <t xml:space="preserve">    Total Equity</t>
  </si>
  <si>
    <t xml:space="preserve">    Total Debt</t>
  </si>
  <si>
    <t xml:space="preserve">    Capital Employed</t>
  </si>
  <si>
    <t xml:space="preserve">    ROCE %  (EBIT / Capital Employed)</t>
  </si>
  <si>
    <t xml:space="preserve">    Asset Turnover  (Revenue / Total Assets)</t>
  </si>
  <si>
    <t xml:space="preserve">ITC LIMITED — MODEL ASSUMPTIONS  (Blue cells = editable inputs)</t>
  </si>
  <si>
    <t xml:space="preserve">  Assumption</t>
  </si>
  <si>
    <t xml:space="preserve">FY26E</t>
  </si>
  <si>
    <t xml:space="preserve">FY27E</t>
  </si>
  <si>
    <t xml:space="preserve">FY28E</t>
  </si>
  <si>
    <t xml:space="preserve">Rationale</t>
  </si>
  <si>
    <t xml:space="preserve">  A. REVENUE GROWTH RATES (YoY)</t>
  </si>
  <si>
    <t xml:space="preserve">Gradual moderation; pricing-led growth as volumes mature</t>
  </si>
  <si>
    <t xml:space="preserve">Premium FMCG expansion; YiPPee!, Bingo &amp; new launches</t>
  </si>
  <si>
    <t xml:space="preserve">Post-COVID recovery continues; Mövenpick pipeline</t>
  </si>
  <si>
    <t xml:space="preserve">Commodity-linked; modest recovery post FY24 correction</t>
  </si>
  <si>
    <t xml:space="preserve">E-commerce demand tailwind; capacity expansion</t>
  </si>
  <si>
    <t xml:space="preserve">  B. MARGIN ASSUMPTIONS</t>
  </si>
  <si>
    <t xml:space="preserve">Stable; cigarette pricing power offsets FMCG brand investment</t>
  </si>
  <si>
    <t xml:space="preserve">Tax-efficient; Sec 80IC benefits + treasury income</t>
  </si>
  <si>
    <t xml:space="preserve">    EBITDA Margin %</t>
  </si>
  <si>
    <t xml:space="preserve">Gradual improvement; operating leverage in Hotels &amp; Paperboards</t>
  </si>
  <si>
    <t xml:space="preserve">  C. BALANCE SHEET GROWTH ASSUMPTIONS</t>
  </si>
  <si>
    <t xml:space="preserve">    Total Assets Growth %</t>
  </si>
  <si>
    <t xml:space="preserve">Asset-light model; capex moderate vs. revenue growth</t>
  </si>
  <si>
    <t xml:space="preserve">    Capital Employed Growth %</t>
  </si>
  <si>
    <t xml:space="preserve">Debt reduction continues; equity-funded growth</t>
  </si>
  <si>
    <t xml:space="preserve">🔵 Blue text = hardcoded input (editable)     🟡 Yellow fill = key assumption cell     🟢 Green text = linked from another sheet</t>
  </si>
  <si>
    <t xml:space="preserve">ITC LIMITED — 3-YEAR REVENUE PROJECTION  (₹ Crores)</t>
  </si>
  <si>
    <t xml:space="preserve">  A. SEGMENT REVENUE</t>
  </si>
  <si>
    <t xml:space="preserve">    YoY Revenue Growth %</t>
  </si>
  <si>
    <t xml:space="preserve">-</t>
  </si>
  <si>
    <t xml:space="preserve">  B. PROFIT &amp; LOSS PROJECTION</t>
  </si>
  <si>
    <t xml:space="preserve">    OPM %</t>
  </si>
  <si>
    <t xml:space="preserve">  C. BALANCE SHEET PROJECTION</t>
  </si>
  <si>
    <t xml:space="preserve">    ROCE %</t>
  </si>
  <si>
    <t xml:space="preserve">ITC LIMITED — KEY FINANCIAL RATIOS  (FY21–FY28E)</t>
  </si>
  <si>
    <t xml:space="preserve">  Ratio</t>
  </si>
  <si>
    <t xml:space="preserve">  PROFITABILITY &amp; EFFICIENCY RATIOS</t>
  </si>
  <si>
    <t xml:space="preserve">    ROCE %  (EBIT / Cap. Emp)</t>
  </si>
  <si>
    <t xml:space="preserve">    Revenue (₹ Cr)</t>
  </si>
  <si>
    <t xml:space="preserve">    EBIT (₹ Cr)</t>
  </si>
  <si>
    <t xml:space="preserve">    PAT  (₹ Cr)</t>
  </si>
  <si>
    <t xml:space="preserve">    Asset Turnover  (Revenue / Assets)</t>
  </si>
  <si>
    <t xml:space="preserve">ITC LIMITED — SEGMENT STRATEGIC COMMENTARY</t>
  </si>
  <si>
    <t xml:space="preserve">Segment</t>
  </si>
  <si>
    <t xml:space="preserve">Strategic Commentary (One-line thesis)</t>
  </si>
  <si>
    <t xml:space="preserve">FMCG — Cigarettes</t>
  </si>
  <si>
    <t xml:space="preserve">Cash cow with pricing power intact; 3.6x slower growth vs. Marico signals volume saturation but margins hold — sustain, don't over-invest.</t>
  </si>
  <si>
    <t xml:space="preserve">FMCG — Others</t>
  </si>
  <si>
    <t xml:space="preserve">ITC's growth engine: YiPPee!, Bingo &amp; personal care scaling fast; bridging the gap to Nestle-level FMCG multiples will unlock valuation re-rating.</t>
  </si>
  <si>
    <t xml:space="preserve">Hotels</t>
  </si>
  <si>
    <t xml:space="preserve">Post-COVID earnings recovery is real but leverage is high relative to asset base; watch RevPAR trends and Mövenpick pipeline for next growth catalyst.</t>
  </si>
  <si>
    <t xml:space="preserve">Agribusiness</t>
  </si>
  <si>
    <t xml:space="preserve">Commodity-linked volatility caps multiple; e-Choupal and wheat procurement give strategic moat but FY24 export policy headwinds exposed structural ceiling.</t>
  </si>
  <si>
    <t xml:space="preserve">Paperboards &amp; Pckgng</t>
  </si>
  <si>
    <t xml:space="preserve">E-commerce packaging tailwind is structural; capacity utilisation at ~85% — next capex cycle will determine whether this segment earns its cost of capital.</t>
  </si>
  <si>
    <t xml:space="preserve">Overall Model View</t>
  </si>
  <si>
    <t xml:space="preserve">ITC is a cash-generative, low-debt conglomerate at a transition point: Cigarettes funding FMCG brand-building; the re-rating thesis rests on FMCG Others reaching &gt;₹15,000 Cr revenue by FY28.</t>
  </si>
  <si>
    <t xml:space="preserve">Data: ITC Annual Reports FY21–FY25  |  Model: Sweta Sahani, VIT Chennai, June 2026  |  For educational purposes only — not investment advice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</si>
</sst>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0.00\x;\(0.00&quot;x)&quot;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A2744"/>
      <name val="Arial"/>
      <family val="0"/>
      <charset val="1"/>
    </font>
    <font>
      <sz val="14"/>
      <color rgb="FFC8973A"/>
      <name val="Arial"/>
      <family val="0"/>
      <charset val="1"/>
    </font>
    <font>
      <b val="true"/>
      <sz val="10"/>
      <color rgb="FF1A27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1A274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9"/>
      <color rgb="FF1A2744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8973A"/>
        <bgColor rgb="FF969696"/>
      </patternFill>
    </fill>
    <fill>
      <patternFill patternType="solid">
        <fgColor rgb="FF1A2744"/>
        <bgColor rgb="FF333300"/>
      </patternFill>
    </fill>
    <fill>
      <patternFill patternType="solid">
        <fgColor rgb="FFF5F5F5"/>
        <bgColor rgb="FFF0F4FA"/>
      </patternFill>
    </fill>
    <fill>
      <patternFill patternType="solid">
        <fgColor rgb="FFD9D9D9"/>
        <bgColor rgb="FFEBF1DE"/>
      </patternFill>
    </fill>
    <fill>
      <patternFill patternType="solid">
        <fgColor rgb="FFEBF1DE"/>
        <bgColor rgb="FFEEF2F8"/>
      </patternFill>
    </fill>
    <fill>
      <patternFill patternType="solid">
        <fgColor rgb="FFFFFF00"/>
        <bgColor rgb="FFFFFF00"/>
      </patternFill>
    </fill>
    <fill>
      <patternFill patternType="solid">
        <fgColor rgb="FF2B4C7E"/>
        <bgColor rgb="FF404040"/>
      </patternFill>
    </fill>
    <fill>
      <patternFill patternType="solid">
        <fgColor rgb="FFF0F4FA"/>
        <bgColor rgb="FFEEF2F8"/>
      </patternFill>
    </fill>
    <fill>
      <patternFill patternType="solid">
        <fgColor rgb="FFEEF2F8"/>
        <bgColor rgb="FFF0F4FA"/>
      </patternFill>
    </fill>
    <fill>
      <patternFill patternType="solid">
        <fgColor rgb="FFFFFFFF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BF1DE"/>
      <rgbColor rgb="FFEE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A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73A"/>
      <rgbColor rgb="FFFF6600"/>
      <rgbColor rgb="FF666699"/>
      <rgbColor rgb="FF969696"/>
      <rgbColor rgb="FF1A2744"/>
      <rgbColor rgb="FF339966"/>
      <rgbColor rgb="FF003300"/>
      <rgbColor rgb="FF333300"/>
      <rgbColor rgb="FF993300"/>
      <rgbColor rgb="FF993366"/>
      <rgbColor rgb="FF2B4C7E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3" min="3" style="0" width="25"/>
  </cols>
  <sheetData>
    <row r="1" customFormat="false" ht="7.5" hidden="false" customHeight="true" outlineLevel="0" collapsed="false">
      <c r="A1" s="1"/>
      <c r="B1" s="1"/>
      <c r="C1" s="1"/>
      <c r="D1" s="1"/>
    </row>
    <row r="2" customFormat="false" ht="9.75" hidden="false" customHeight="true" outlineLevel="0" collapsed="false"/>
    <row r="3" customFormat="false" ht="49.5" hidden="false" customHeight="true" outlineLevel="0" collapsed="false">
      <c r="B3" s="2" t="s">
        <v>0</v>
      </c>
      <c r="C3" s="2"/>
    </row>
    <row r="4" customFormat="false" ht="30" hidden="false" customHeight="true" outlineLevel="0" collapsed="false">
      <c r="B4" s="3" t="s">
        <v>1</v>
      </c>
      <c r="C4" s="3"/>
    </row>
    <row r="5" customFormat="false" ht="3.75" hidden="false" customHeight="true" outlineLevel="0" collapsed="false">
      <c r="A5" s="1"/>
      <c r="B5" s="1"/>
      <c r="C5" s="1"/>
      <c r="D5" s="1"/>
    </row>
    <row r="7" customFormat="false" ht="18" hidden="false" customHeight="true" outlineLevel="0" collapsed="false">
      <c r="B7" s="4" t="s">
        <v>2</v>
      </c>
      <c r="C7" s="5" t="s">
        <v>3</v>
      </c>
    </row>
    <row r="8" customFormat="false" ht="18" hidden="false" customHeight="true" outlineLevel="0" collapsed="false">
      <c r="B8" s="4" t="s">
        <v>4</v>
      </c>
      <c r="C8" s="5" t="s">
        <v>5</v>
      </c>
    </row>
    <row r="9" customFormat="false" ht="18" hidden="false" customHeight="true" outlineLevel="0" collapsed="false">
      <c r="B9" s="4" t="s">
        <v>6</v>
      </c>
      <c r="C9" s="5" t="s">
        <v>7</v>
      </c>
    </row>
    <row r="10" customFormat="false" ht="15" hidden="false" customHeight="false" outlineLevel="0" collapsed="false">
      <c r="B10" s="4" t="s">
        <v>8</v>
      </c>
      <c r="C10" s="5" t="s">
        <v>9</v>
      </c>
    </row>
    <row r="11" customFormat="false" ht="18" hidden="false" customHeight="true" outlineLevel="0" collapsed="false">
      <c r="B11" s="4" t="s">
        <v>10</v>
      </c>
      <c r="C11" s="5" t="s">
        <v>11</v>
      </c>
    </row>
    <row r="13" customFormat="false" ht="18" hidden="false" customHeight="true" outlineLevel="0" collapsed="false">
      <c r="B13" s="6" t="s">
        <v>12</v>
      </c>
      <c r="C13" s="6"/>
    </row>
    <row r="15" customFormat="false" ht="34.5" hidden="false" customHeight="true" outlineLevel="0" collapsed="false">
      <c r="B15" s="7" t="s">
        <v>13</v>
      </c>
      <c r="C15" s="7"/>
    </row>
  </sheetData>
  <mergeCells count="4">
    <mergeCell ref="B3:C3"/>
    <mergeCell ref="B4:C4"/>
    <mergeCell ref="B13:C13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7" min="3" style="0" width="14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B2" s="8" t="s">
        <v>14</v>
      </c>
      <c r="C2" s="8"/>
      <c r="D2" s="8"/>
      <c r="E2" s="8"/>
      <c r="F2" s="8"/>
      <c r="G2" s="8"/>
    </row>
    <row r="3" customFormat="false" ht="18" hidden="false" customHeight="true" outlineLevel="0" collapsed="false">
      <c r="B3" s="9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</row>
    <row r="4" customFormat="false" ht="15.75" hidden="false" customHeight="true" outlineLevel="0" collapsed="false">
      <c r="B4" s="11" t="s">
        <v>21</v>
      </c>
      <c r="C4" s="11"/>
      <c r="D4" s="11"/>
      <c r="E4" s="11"/>
      <c r="F4" s="11"/>
      <c r="G4" s="11"/>
    </row>
    <row r="5" customFormat="false" ht="15.75" hidden="false" customHeight="true" outlineLevel="0" collapsed="false">
      <c r="B5" s="12" t="s">
        <v>22</v>
      </c>
      <c r="C5" s="13" t="n">
        <v>24136</v>
      </c>
      <c r="D5" s="13" t="n">
        <v>27126</v>
      </c>
      <c r="E5" s="13" t="n">
        <v>30374</v>
      </c>
      <c r="F5" s="13" t="n">
        <v>33221</v>
      </c>
      <c r="G5" s="13" t="n">
        <v>35432</v>
      </c>
    </row>
    <row r="6" customFormat="false" ht="15.75" hidden="false" customHeight="true" outlineLevel="0" collapsed="false">
      <c r="B6" s="12" t="s">
        <v>23</v>
      </c>
      <c r="C6" s="13" t="n">
        <v>4020</v>
      </c>
      <c r="D6" s="13" t="n">
        <v>4877</v>
      </c>
      <c r="E6" s="13" t="n">
        <v>6015</v>
      </c>
      <c r="F6" s="13" t="n">
        <v>6840</v>
      </c>
      <c r="G6" s="13" t="n">
        <v>7442</v>
      </c>
    </row>
    <row r="7" customFormat="false" ht="15.75" hidden="false" customHeight="true" outlineLevel="0" collapsed="false">
      <c r="B7" s="12" t="s">
        <v>24</v>
      </c>
      <c r="C7" s="13" t="n">
        <v>700</v>
      </c>
      <c r="D7" s="13" t="n">
        <v>900</v>
      </c>
      <c r="E7" s="13" t="n">
        <v>1794</v>
      </c>
      <c r="F7" s="13" t="n">
        <v>2211</v>
      </c>
      <c r="G7" s="13" t="n">
        <v>2510</v>
      </c>
    </row>
    <row r="8" customFormat="false" ht="15.75" hidden="false" customHeight="true" outlineLevel="0" collapsed="false">
      <c r="B8" s="12" t="s">
        <v>25</v>
      </c>
      <c r="C8" s="13" t="n">
        <v>9785</v>
      </c>
      <c r="D8" s="13" t="n">
        <v>13478</v>
      </c>
      <c r="E8" s="13" t="n">
        <v>12603</v>
      </c>
      <c r="F8" s="13" t="n">
        <v>11905</v>
      </c>
      <c r="G8" s="13" t="n">
        <v>12300</v>
      </c>
    </row>
    <row r="9" customFormat="false" ht="15.75" hidden="false" customHeight="true" outlineLevel="0" collapsed="false">
      <c r="B9" s="12" t="s">
        <v>26</v>
      </c>
      <c r="C9" s="13" t="n">
        <v>5100</v>
      </c>
      <c r="D9" s="13" t="n">
        <v>5910</v>
      </c>
      <c r="E9" s="13" t="n">
        <v>7050</v>
      </c>
      <c r="F9" s="13" t="n">
        <v>7120</v>
      </c>
      <c r="G9" s="13" t="n">
        <v>7450</v>
      </c>
    </row>
    <row r="10" customFormat="false" ht="15.75" hidden="false" customHeight="true" outlineLevel="0" collapsed="false">
      <c r="B10" s="14" t="s">
        <v>27</v>
      </c>
      <c r="C10" s="15" t="n">
        <f aca="false">SUM(C5:C9)</f>
        <v>43741</v>
      </c>
      <c r="D10" s="15" t="n">
        <f aca="false">SUM(D5:D9)</f>
        <v>52291</v>
      </c>
      <c r="E10" s="15" t="n">
        <f aca="false">SUM(E5:E9)</f>
        <v>57836</v>
      </c>
      <c r="F10" s="15" t="n">
        <f aca="false">SUM(F5:F9)</f>
        <v>61297</v>
      </c>
      <c r="G10" s="15" t="n">
        <f aca="false">SUM(G5:G9)</f>
        <v>65134</v>
      </c>
    </row>
    <row r="11" customFormat="false" ht="12.75" hidden="false" customHeight="true" outlineLevel="0" collapsed="false">
      <c r="B11" s="16" t="s">
        <v>28</v>
      </c>
      <c r="C11" s="16"/>
      <c r="D11" s="16"/>
      <c r="E11" s="16"/>
      <c r="F11" s="16"/>
      <c r="G11" s="16"/>
    </row>
    <row r="13" customFormat="false" ht="15.75" hidden="false" customHeight="true" outlineLevel="0" collapsed="false">
      <c r="B13" s="11" t="s">
        <v>29</v>
      </c>
      <c r="C13" s="11"/>
      <c r="D13" s="11"/>
      <c r="E13" s="11"/>
      <c r="F13" s="11"/>
      <c r="G13" s="11"/>
    </row>
    <row r="14" customFormat="false" ht="15.75" hidden="false" customHeight="true" outlineLevel="0" collapsed="false">
      <c r="B14" s="17" t="s">
        <v>30</v>
      </c>
      <c r="C14" s="18" t="n">
        <v>43741</v>
      </c>
      <c r="D14" s="18" t="n">
        <v>52291</v>
      </c>
      <c r="E14" s="18" t="n">
        <v>57888</v>
      </c>
      <c r="F14" s="18" t="n">
        <v>61297</v>
      </c>
      <c r="G14" s="18" t="n">
        <v>65134</v>
      </c>
    </row>
    <row r="15" customFormat="false" ht="15.75" hidden="false" customHeight="true" outlineLevel="0" collapsed="false">
      <c r="B15" s="19" t="s">
        <v>31</v>
      </c>
      <c r="C15" s="13" t="n">
        <v>18125</v>
      </c>
      <c r="D15" s="13" t="n">
        <v>20270</v>
      </c>
      <c r="E15" s="13" t="n">
        <v>22310</v>
      </c>
      <c r="F15" s="13" t="n">
        <v>23880</v>
      </c>
      <c r="G15" s="13" t="n">
        <v>25200</v>
      </c>
    </row>
    <row r="16" customFormat="false" ht="15.75" hidden="false" customHeight="true" outlineLevel="0" collapsed="false">
      <c r="B16" s="19" t="s">
        <v>32</v>
      </c>
      <c r="C16" s="13" t="n">
        <v>16800</v>
      </c>
      <c r="D16" s="13" t="n">
        <v>18950</v>
      </c>
      <c r="E16" s="13" t="n">
        <v>20900</v>
      </c>
      <c r="F16" s="13" t="n">
        <v>22400</v>
      </c>
      <c r="G16" s="13" t="n">
        <v>23680</v>
      </c>
    </row>
    <row r="17" customFormat="false" ht="15.75" hidden="false" customHeight="true" outlineLevel="0" collapsed="false">
      <c r="B17" s="19" t="s">
        <v>33</v>
      </c>
      <c r="C17" s="13" t="n">
        <v>17250</v>
      </c>
      <c r="D17" s="13" t="n">
        <v>19600</v>
      </c>
      <c r="E17" s="13" t="n">
        <v>21500</v>
      </c>
      <c r="F17" s="13" t="n">
        <v>23000</v>
      </c>
      <c r="G17" s="13" t="n">
        <v>24350</v>
      </c>
    </row>
    <row r="18" customFormat="false" ht="15.75" hidden="false" customHeight="true" outlineLevel="0" collapsed="false">
      <c r="B18" s="17" t="s">
        <v>34</v>
      </c>
      <c r="C18" s="18" t="n">
        <v>13032</v>
      </c>
      <c r="D18" s="18" t="n">
        <v>14550</v>
      </c>
      <c r="E18" s="18" t="n">
        <v>15232</v>
      </c>
      <c r="F18" s="18" t="n">
        <v>20458</v>
      </c>
      <c r="G18" s="18" t="n">
        <v>20459</v>
      </c>
    </row>
    <row r="19" customFormat="false" ht="15.75" hidden="false" customHeight="true" outlineLevel="0" collapsed="false">
      <c r="B19" s="20" t="s">
        <v>35</v>
      </c>
      <c r="C19" s="21" t="n">
        <f aca="false">C16/C14</f>
        <v>0.384079010539311</v>
      </c>
      <c r="D19" s="21" t="n">
        <f aca="false">D16/D14</f>
        <v>0.362395058423056</v>
      </c>
      <c r="E19" s="21" t="n">
        <f aca="false">E16/E14</f>
        <v>0.361042012161415</v>
      </c>
      <c r="F19" s="21" t="n">
        <f aca="false">F16/F14</f>
        <v>0.365433871151932</v>
      </c>
      <c r="G19" s="21" t="n">
        <f aca="false">G16/G14</f>
        <v>0.363558203089017</v>
      </c>
    </row>
    <row r="20" customFormat="false" ht="15.75" hidden="false" customHeight="true" outlineLevel="0" collapsed="false">
      <c r="B20" s="19" t="s">
        <v>36</v>
      </c>
      <c r="C20" s="22" t="n">
        <f aca="false">C18/C14</f>
        <v>0.297935575318351</v>
      </c>
      <c r="D20" s="22" t="n">
        <f aca="false">D18/D14</f>
        <v>0.278250559369681</v>
      </c>
      <c r="E20" s="22" t="n">
        <f aca="false">E18/E14</f>
        <v>0.263128800442233</v>
      </c>
      <c r="F20" s="22" t="n">
        <f aca="false">F18/F14</f>
        <v>0.333752059644028</v>
      </c>
      <c r="G20" s="22" t="n">
        <f aca="false">G18/G14</f>
        <v>0.314106303927288</v>
      </c>
    </row>
    <row r="22" customFormat="false" ht="15.75" hidden="false" customHeight="true" outlineLevel="0" collapsed="false">
      <c r="B22" s="11" t="s">
        <v>37</v>
      </c>
      <c r="C22" s="11"/>
      <c r="D22" s="11"/>
      <c r="E22" s="11"/>
      <c r="F22" s="11"/>
      <c r="G22" s="11"/>
    </row>
    <row r="23" customFormat="false" ht="15.75" hidden="false" customHeight="true" outlineLevel="0" collapsed="false">
      <c r="B23" s="19" t="s">
        <v>38</v>
      </c>
      <c r="C23" s="13" t="n">
        <v>59280</v>
      </c>
      <c r="D23" s="13" t="n">
        <v>65010</v>
      </c>
      <c r="E23" s="13" t="n">
        <v>72480</v>
      </c>
      <c r="F23" s="13" t="n">
        <v>79450</v>
      </c>
      <c r="G23" s="13" t="n">
        <v>86200</v>
      </c>
    </row>
    <row r="24" customFormat="false" ht="15.75" hidden="false" customHeight="true" outlineLevel="0" collapsed="false">
      <c r="B24" s="19" t="s">
        <v>39</v>
      </c>
      <c r="C24" s="13" t="n">
        <v>16850</v>
      </c>
      <c r="D24" s="13" t="n">
        <v>17300</v>
      </c>
      <c r="E24" s="13" t="n">
        <v>18500</v>
      </c>
      <c r="F24" s="13" t="n">
        <v>19800</v>
      </c>
      <c r="G24" s="13" t="n">
        <v>21000</v>
      </c>
    </row>
    <row r="25" customFormat="false" ht="15.75" hidden="false" customHeight="true" outlineLevel="0" collapsed="false">
      <c r="B25" s="19" t="s">
        <v>40</v>
      </c>
      <c r="C25" s="13" t="n">
        <v>45100</v>
      </c>
      <c r="D25" s="13" t="n">
        <v>50200</v>
      </c>
      <c r="E25" s="13" t="n">
        <v>56400</v>
      </c>
      <c r="F25" s="13" t="n">
        <v>62800</v>
      </c>
      <c r="G25" s="13" t="n">
        <v>68500</v>
      </c>
    </row>
    <row r="26" customFormat="false" ht="15.75" hidden="false" customHeight="true" outlineLevel="0" collapsed="false">
      <c r="B26" s="19" t="s">
        <v>41</v>
      </c>
      <c r="C26" s="13" t="n">
        <v>1100</v>
      </c>
      <c r="D26" s="13" t="n">
        <v>850</v>
      </c>
      <c r="E26" s="13" t="n">
        <v>780</v>
      </c>
      <c r="F26" s="13" t="n">
        <v>620</v>
      </c>
      <c r="G26" s="13" t="n">
        <v>500</v>
      </c>
    </row>
    <row r="27" customFormat="false" ht="15.75" hidden="false" customHeight="true" outlineLevel="0" collapsed="false">
      <c r="B27" s="19" t="s">
        <v>42</v>
      </c>
      <c r="C27" s="13" t="n">
        <v>46200</v>
      </c>
      <c r="D27" s="13" t="n">
        <v>51050</v>
      </c>
      <c r="E27" s="13" t="n">
        <v>57180</v>
      </c>
      <c r="F27" s="13" t="n">
        <v>63420</v>
      </c>
      <c r="G27" s="13" t="n">
        <v>69000</v>
      </c>
    </row>
    <row r="28" customFormat="false" ht="15.75" hidden="false" customHeight="true" outlineLevel="0" collapsed="false">
      <c r="B28" s="20" t="s">
        <v>43</v>
      </c>
      <c r="C28" s="21" t="n">
        <f aca="false">C16/C27</f>
        <v>0.363636363636364</v>
      </c>
      <c r="D28" s="21" t="n">
        <f aca="false">D16/D27</f>
        <v>0.371204701273262</v>
      </c>
      <c r="E28" s="21" t="n">
        <f aca="false">E16/E27</f>
        <v>0.365512416928996</v>
      </c>
      <c r="F28" s="21" t="n">
        <f aca="false">F16/F27</f>
        <v>0.353200883002208</v>
      </c>
      <c r="G28" s="21" t="n">
        <f aca="false">G16/G27</f>
        <v>0.343188405797101</v>
      </c>
    </row>
    <row r="29" customFormat="false" ht="15.75" hidden="false" customHeight="true" outlineLevel="0" collapsed="false">
      <c r="B29" s="19" t="s">
        <v>44</v>
      </c>
      <c r="C29" s="23" t="n">
        <f aca="false">C14/C23</f>
        <v>0.737871120107962</v>
      </c>
      <c r="D29" s="23" t="n">
        <f aca="false">D14/D23</f>
        <v>0.804353176434395</v>
      </c>
      <c r="E29" s="23" t="n">
        <f aca="false">E14/E23</f>
        <v>0.798675496688742</v>
      </c>
      <c r="F29" s="23" t="n">
        <f aca="false">F14/F23</f>
        <v>0.771516677155444</v>
      </c>
      <c r="G29" s="23" t="n">
        <f aca="false">G14/G23</f>
        <v>0.755614849187935</v>
      </c>
    </row>
  </sheetData>
  <mergeCells count="5">
    <mergeCell ref="B2:G2"/>
    <mergeCell ref="B4:G4"/>
    <mergeCell ref="B11:G11"/>
    <mergeCell ref="B13:G13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16"/>
    <col collapsed="false" customWidth="true" hidden="false" outlineLevel="0" max="6" min="6" style="0" width="26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</row>
    <row r="2" customFormat="false" ht="30" hidden="false" customHeight="true" outlineLevel="0" collapsed="false">
      <c r="B2" s="8" t="s">
        <v>45</v>
      </c>
      <c r="C2" s="8"/>
      <c r="D2" s="8"/>
      <c r="E2" s="8"/>
      <c r="F2" s="8"/>
    </row>
    <row r="3" customFormat="false" ht="18" hidden="false" customHeight="true" outlineLevel="0" collapsed="false">
      <c r="B3" s="9" t="s">
        <v>46</v>
      </c>
      <c r="C3" s="10" t="s">
        <v>47</v>
      </c>
      <c r="D3" s="10" t="s">
        <v>48</v>
      </c>
      <c r="E3" s="10" t="s">
        <v>49</v>
      </c>
      <c r="F3" s="9" t="s">
        <v>50</v>
      </c>
    </row>
    <row r="4" customFormat="false" ht="15.75" hidden="false" customHeight="true" outlineLevel="0" collapsed="false">
      <c r="B4" s="11" t="s">
        <v>51</v>
      </c>
      <c r="C4" s="11"/>
      <c r="D4" s="11"/>
      <c r="E4" s="11"/>
      <c r="F4" s="11"/>
    </row>
    <row r="5" customFormat="false" ht="18" hidden="false" customHeight="true" outlineLevel="0" collapsed="false">
      <c r="B5" s="24" t="s">
        <v>22</v>
      </c>
      <c r="C5" s="25" t="n">
        <v>0.056</v>
      </c>
      <c r="D5" s="25" t="n">
        <v>0.05</v>
      </c>
      <c r="E5" s="25" t="n">
        <v>0.045</v>
      </c>
      <c r="F5" s="26" t="s">
        <v>52</v>
      </c>
    </row>
    <row r="6" customFormat="false" ht="18" hidden="false" customHeight="true" outlineLevel="0" collapsed="false">
      <c r="B6" s="24" t="s">
        <v>23</v>
      </c>
      <c r="C6" s="25" t="n">
        <v>0.09</v>
      </c>
      <c r="D6" s="25" t="n">
        <v>0.085</v>
      </c>
      <c r="E6" s="25" t="n">
        <v>0.08</v>
      </c>
      <c r="F6" s="26" t="s">
        <v>53</v>
      </c>
    </row>
    <row r="7" customFormat="false" ht="18" hidden="false" customHeight="true" outlineLevel="0" collapsed="false">
      <c r="B7" s="24" t="s">
        <v>24</v>
      </c>
      <c r="C7" s="25" t="n">
        <v>0.12</v>
      </c>
      <c r="D7" s="25" t="n">
        <v>0.1</v>
      </c>
      <c r="E7" s="25" t="n">
        <v>0.09</v>
      </c>
      <c r="F7" s="26" t="s">
        <v>54</v>
      </c>
    </row>
    <row r="8" customFormat="false" ht="18" hidden="false" customHeight="true" outlineLevel="0" collapsed="false">
      <c r="B8" s="24" t="s">
        <v>25</v>
      </c>
      <c r="C8" s="25" t="n">
        <v>0.04</v>
      </c>
      <c r="D8" s="25" t="n">
        <v>0.045</v>
      </c>
      <c r="E8" s="25" t="n">
        <v>0.05</v>
      </c>
      <c r="F8" s="26" t="s">
        <v>55</v>
      </c>
    </row>
    <row r="9" customFormat="false" ht="18" hidden="false" customHeight="true" outlineLevel="0" collapsed="false">
      <c r="B9" s="24" t="s">
        <v>26</v>
      </c>
      <c r="C9" s="25" t="n">
        <v>0.05</v>
      </c>
      <c r="D9" s="25" t="n">
        <v>0.055</v>
      </c>
      <c r="E9" s="25" t="n">
        <v>0.06</v>
      </c>
      <c r="F9" s="26" t="s">
        <v>56</v>
      </c>
    </row>
    <row r="11" customFormat="false" ht="15.75" hidden="false" customHeight="true" outlineLevel="0" collapsed="false">
      <c r="B11" s="11" t="s">
        <v>57</v>
      </c>
      <c r="C11" s="11"/>
      <c r="D11" s="11"/>
      <c r="E11" s="11"/>
      <c r="F11" s="11"/>
    </row>
    <row r="12" customFormat="false" ht="18" hidden="false" customHeight="true" outlineLevel="0" collapsed="false">
      <c r="B12" s="24" t="s">
        <v>35</v>
      </c>
      <c r="C12" s="25" t="n">
        <v>0.365</v>
      </c>
      <c r="D12" s="25" t="n">
        <v>0.368</v>
      </c>
      <c r="E12" s="25" t="n">
        <v>0.37</v>
      </c>
      <c r="F12" s="26" t="s">
        <v>58</v>
      </c>
    </row>
    <row r="13" customFormat="false" ht="18" hidden="false" customHeight="true" outlineLevel="0" collapsed="false">
      <c r="B13" s="24" t="s">
        <v>36</v>
      </c>
      <c r="C13" s="25" t="n">
        <v>0.315</v>
      </c>
      <c r="D13" s="25" t="n">
        <v>0.318</v>
      </c>
      <c r="E13" s="25" t="n">
        <v>0.32</v>
      </c>
      <c r="F13" s="26" t="s">
        <v>59</v>
      </c>
    </row>
    <row r="14" customFormat="false" ht="18" hidden="false" customHeight="true" outlineLevel="0" collapsed="false">
      <c r="B14" s="24" t="s">
        <v>60</v>
      </c>
      <c r="C14" s="25" t="n">
        <v>0.388</v>
      </c>
      <c r="D14" s="25" t="n">
        <v>0.39</v>
      </c>
      <c r="E14" s="25" t="n">
        <v>0.392</v>
      </c>
      <c r="F14" s="26" t="s">
        <v>61</v>
      </c>
    </row>
    <row r="16" customFormat="false" ht="15.75" hidden="false" customHeight="true" outlineLevel="0" collapsed="false">
      <c r="B16" s="11" t="s">
        <v>62</v>
      </c>
      <c r="C16" s="11"/>
      <c r="D16" s="11"/>
      <c r="E16" s="11"/>
      <c r="F16" s="11"/>
    </row>
    <row r="17" customFormat="false" ht="18" hidden="false" customHeight="true" outlineLevel="0" collapsed="false">
      <c r="B17" s="24" t="s">
        <v>63</v>
      </c>
      <c r="C17" s="25" t="n">
        <v>0.08</v>
      </c>
      <c r="D17" s="25" t="n">
        <v>0.075</v>
      </c>
      <c r="E17" s="25" t="n">
        <v>0.07</v>
      </c>
      <c r="F17" s="26" t="s">
        <v>64</v>
      </c>
    </row>
    <row r="18" customFormat="false" ht="18" hidden="false" customHeight="true" outlineLevel="0" collapsed="false">
      <c r="B18" s="24" t="s">
        <v>65</v>
      </c>
      <c r="C18" s="25" t="n">
        <v>0.075</v>
      </c>
      <c r="D18" s="25" t="n">
        <v>0.07</v>
      </c>
      <c r="E18" s="25" t="n">
        <v>0.065</v>
      </c>
      <c r="F18" s="26" t="s">
        <v>66</v>
      </c>
    </row>
    <row r="20" customFormat="false" ht="15.75" hidden="false" customHeight="true" outlineLevel="0" collapsed="false">
      <c r="B20" s="27" t="s">
        <v>67</v>
      </c>
      <c r="C20" s="27"/>
      <c r="D20" s="27"/>
      <c r="E20" s="27"/>
      <c r="F20" s="27"/>
    </row>
  </sheetData>
  <mergeCells count="5">
    <mergeCell ref="B2:F2"/>
    <mergeCell ref="B4:F4"/>
    <mergeCell ref="B11:F11"/>
    <mergeCell ref="B16:F16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10" min="3" style="0" width="14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B2" s="8" t="s">
        <v>68</v>
      </c>
      <c r="C2" s="8"/>
      <c r="D2" s="8"/>
      <c r="E2" s="8"/>
      <c r="F2" s="8"/>
      <c r="G2" s="8"/>
      <c r="H2" s="8"/>
      <c r="I2" s="8"/>
      <c r="J2" s="8"/>
    </row>
    <row r="3" customFormat="false" ht="18" hidden="false" customHeight="true" outlineLevel="0" collapsed="false">
      <c r="B3" s="9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28" t="s">
        <v>47</v>
      </c>
      <c r="I3" s="28" t="s">
        <v>48</v>
      </c>
      <c r="J3" s="28" t="s">
        <v>49</v>
      </c>
    </row>
    <row r="4" customFormat="false" ht="15.75" hidden="false" customHeight="true" outlineLevel="0" collapsed="false">
      <c r="B4" s="11" t="s">
        <v>69</v>
      </c>
      <c r="C4" s="11"/>
      <c r="D4" s="11"/>
      <c r="E4" s="11"/>
      <c r="F4" s="11"/>
      <c r="G4" s="11"/>
      <c r="H4" s="11"/>
      <c r="I4" s="11"/>
      <c r="J4" s="11"/>
    </row>
    <row r="5" customFormat="false" ht="15.75" hidden="false" customHeight="true" outlineLevel="0" collapsed="false">
      <c r="B5" s="12" t="s">
        <v>22</v>
      </c>
      <c r="C5" s="29" t="n">
        <f aca="false">Historical!C5</f>
        <v>24136</v>
      </c>
      <c r="D5" s="29" t="n">
        <f aca="false">Historical!D5</f>
        <v>27126</v>
      </c>
      <c r="E5" s="29" t="n">
        <f aca="false">Historical!E5</f>
        <v>30374</v>
      </c>
      <c r="F5" s="29" t="n">
        <f aca="false">Historical!F5</f>
        <v>33221</v>
      </c>
      <c r="G5" s="29" t="n">
        <f aca="false">Historical!G5</f>
        <v>35432</v>
      </c>
      <c r="H5" s="30" t="n">
        <f aca="false">Historical!G5*(1+Assumptions!C5)</f>
        <v>37416.192</v>
      </c>
      <c r="I5" s="30" t="n">
        <f aca="false">H5*(1+Assumptions!D5)</f>
        <v>39287.0016</v>
      </c>
      <c r="J5" s="30" t="n">
        <f aca="false">I5*(1+Assumptions!E5)</f>
        <v>41054.916672</v>
      </c>
    </row>
    <row r="6" customFormat="false" ht="15.75" hidden="false" customHeight="true" outlineLevel="0" collapsed="false">
      <c r="B6" s="12" t="s">
        <v>23</v>
      </c>
      <c r="C6" s="29" t="n">
        <f aca="false">Historical!C6</f>
        <v>4020</v>
      </c>
      <c r="D6" s="29" t="n">
        <f aca="false">Historical!D6</f>
        <v>4877</v>
      </c>
      <c r="E6" s="29" t="n">
        <f aca="false">Historical!E6</f>
        <v>6015</v>
      </c>
      <c r="F6" s="29" t="n">
        <f aca="false">Historical!F6</f>
        <v>6840</v>
      </c>
      <c r="G6" s="29" t="n">
        <f aca="false">Historical!G6</f>
        <v>7442</v>
      </c>
      <c r="H6" s="30" t="n">
        <f aca="false">Historical!G6*(1+Assumptions!C6)</f>
        <v>8111.78</v>
      </c>
      <c r="I6" s="30" t="n">
        <f aca="false">H6*(1+Assumptions!D6)</f>
        <v>8801.2813</v>
      </c>
      <c r="J6" s="30" t="n">
        <f aca="false">I6*(1+Assumptions!E6)</f>
        <v>9505.383804</v>
      </c>
    </row>
    <row r="7" customFormat="false" ht="15.75" hidden="false" customHeight="true" outlineLevel="0" collapsed="false">
      <c r="B7" s="12" t="s">
        <v>24</v>
      </c>
      <c r="C7" s="29" t="n">
        <f aca="false">Historical!C7</f>
        <v>700</v>
      </c>
      <c r="D7" s="29" t="n">
        <f aca="false">Historical!D7</f>
        <v>900</v>
      </c>
      <c r="E7" s="29" t="n">
        <f aca="false">Historical!E7</f>
        <v>1794</v>
      </c>
      <c r="F7" s="29" t="n">
        <f aca="false">Historical!F7</f>
        <v>2211</v>
      </c>
      <c r="G7" s="29" t="n">
        <f aca="false">Historical!G7</f>
        <v>2510</v>
      </c>
      <c r="H7" s="30" t="n">
        <f aca="false">Historical!G7*(1+Assumptions!C7)</f>
        <v>2811.2</v>
      </c>
      <c r="I7" s="30" t="n">
        <f aca="false">H7*(1+Assumptions!D7)</f>
        <v>3092.32</v>
      </c>
      <c r="J7" s="30" t="n">
        <f aca="false">I7*(1+Assumptions!E7)</f>
        <v>3370.6288</v>
      </c>
    </row>
    <row r="8" customFormat="false" ht="15.75" hidden="false" customHeight="true" outlineLevel="0" collapsed="false">
      <c r="B8" s="12" t="s">
        <v>25</v>
      </c>
      <c r="C8" s="29" t="n">
        <f aca="false">Historical!C8</f>
        <v>9785</v>
      </c>
      <c r="D8" s="29" t="n">
        <f aca="false">Historical!D8</f>
        <v>13478</v>
      </c>
      <c r="E8" s="29" t="n">
        <f aca="false">Historical!E8</f>
        <v>12603</v>
      </c>
      <c r="F8" s="29" t="n">
        <f aca="false">Historical!F8</f>
        <v>11905</v>
      </c>
      <c r="G8" s="29" t="n">
        <f aca="false">Historical!G8</f>
        <v>12300</v>
      </c>
      <c r="H8" s="30" t="n">
        <f aca="false">Historical!G8*(1+Assumptions!C8)</f>
        <v>12792</v>
      </c>
      <c r="I8" s="30" t="n">
        <f aca="false">H8*(1+Assumptions!D8)</f>
        <v>13367.64</v>
      </c>
      <c r="J8" s="30" t="n">
        <f aca="false">I8*(1+Assumptions!E8)</f>
        <v>14036.022</v>
      </c>
    </row>
    <row r="9" customFormat="false" ht="15.75" hidden="false" customHeight="true" outlineLevel="0" collapsed="false">
      <c r="B9" s="12" t="s">
        <v>26</v>
      </c>
      <c r="C9" s="29" t="n">
        <f aca="false">Historical!C9</f>
        <v>5100</v>
      </c>
      <c r="D9" s="29" t="n">
        <f aca="false">Historical!D9</f>
        <v>5910</v>
      </c>
      <c r="E9" s="29" t="n">
        <f aca="false">Historical!E9</f>
        <v>7050</v>
      </c>
      <c r="F9" s="29" t="n">
        <f aca="false">Historical!F9</f>
        <v>7120</v>
      </c>
      <c r="G9" s="29" t="n">
        <f aca="false">Historical!G9</f>
        <v>7450</v>
      </c>
      <c r="H9" s="30" t="n">
        <f aca="false">Historical!G9*(1+Assumptions!C9)</f>
        <v>7822.5</v>
      </c>
      <c r="I9" s="30" t="n">
        <f aca="false">H9*(1+Assumptions!D9)</f>
        <v>8252.7375</v>
      </c>
      <c r="J9" s="30" t="n">
        <f aca="false">I9*(1+Assumptions!E9)</f>
        <v>8747.90175</v>
      </c>
    </row>
    <row r="10" customFormat="false" ht="15.75" hidden="false" customHeight="true" outlineLevel="0" collapsed="false">
      <c r="B10" s="14" t="s">
        <v>27</v>
      </c>
      <c r="C10" s="15" t="n">
        <f aca="false">SUM(C5:C9)</f>
        <v>43741</v>
      </c>
      <c r="D10" s="15" t="n">
        <f aca="false">SUM(D5:D9)</f>
        <v>52291</v>
      </c>
      <c r="E10" s="15" t="n">
        <f aca="false">SUM(E5:E9)</f>
        <v>57836</v>
      </c>
      <c r="F10" s="15" t="n">
        <f aca="false">SUM(F5:F9)</f>
        <v>61297</v>
      </c>
      <c r="G10" s="15" t="n">
        <f aca="false">SUM(G5:G9)</f>
        <v>65134</v>
      </c>
      <c r="H10" s="31" t="n">
        <f aca="false">SUM(H5:H9)</f>
        <v>68953.672</v>
      </c>
      <c r="I10" s="31" t="n">
        <f aca="false">SUM(I5:I9)</f>
        <v>72800.9804</v>
      </c>
      <c r="J10" s="31" t="n">
        <f aca="false">SUM(J5:J9)</f>
        <v>76714.853026</v>
      </c>
    </row>
    <row r="11" customFormat="false" ht="15.75" hidden="false" customHeight="true" outlineLevel="0" collapsed="false">
      <c r="B11" s="19" t="s">
        <v>70</v>
      </c>
      <c r="C11" s="32" t="s">
        <v>71</v>
      </c>
      <c r="D11" s="33" t="n">
        <f aca="false">(D10-C10)/C10</f>
        <v>0.195468782149471</v>
      </c>
      <c r="E11" s="33" t="n">
        <f aca="false">(E10-D10)/D10</f>
        <v>0.106041192557037</v>
      </c>
      <c r="F11" s="33" t="n">
        <f aca="false">(F10-E10)/E10</f>
        <v>0.0598416211356249</v>
      </c>
      <c r="G11" s="33" t="n">
        <f aca="false">(G10-F10)/F10</f>
        <v>0.0625968644468734</v>
      </c>
      <c r="H11" s="34" t="n">
        <f aca="false">(H10-G10)/G10</f>
        <v>0.0586432892191483</v>
      </c>
      <c r="I11" s="34" t="n">
        <f aca="false">(I10-H10)/H10</f>
        <v>0.0557955550213482</v>
      </c>
      <c r="J11" s="34" t="n">
        <f aca="false">(J10-I10)/I10</f>
        <v>0.0537612626161833</v>
      </c>
    </row>
    <row r="13" customFormat="false" ht="15.75" hidden="false" customHeight="true" outlineLevel="0" collapsed="false">
      <c r="B13" s="11" t="s">
        <v>72</v>
      </c>
      <c r="C13" s="11"/>
      <c r="D13" s="11"/>
      <c r="E13" s="11"/>
      <c r="F13" s="11"/>
      <c r="G13" s="11"/>
      <c r="H13" s="11"/>
      <c r="I13" s="11"/>
      <c r="J13" s="11"/>
    </row>
    <row r="14" customFormat="false" ht="15.75" hidden="false" customHeight="true" outlineLevel="0" collapsed="false">
      <c r="B14" s="19" t="s">
        <v>31</v>
      </c>
      <c r="C14" s="29" t="n">
        <f aca="false">Historical!C15</f>
        <v>18125</v>
      </c>
      <c r="D14" s="29" t="n">
        <f aca="false">Historical!D15</f>
        <v>20270</v>
      </c>
      <c r="E14" s="29" t="n">
        <f aca="false">Historical!E15</f>
        <v>22310</v>
      </c>
      <c r="F14" s="29" t="n">
        <f aca="false">Historical!F15</f>
        <v>23880</v>
      </c>
      <c r="G14" s="29" t="n">
        <f aca="false">Historical!G15</f>
        <v>25200</v>
      </c>
      <c r="H14" s="30" t="n">
        <f aca="false">H10*Assumptions!C14</f>
        <v>26754.024736</v>
      </c>
      <c r="I14" s="30" t="n">
        <f aca="false">I10*Assumptions!D14</f>
        <v>28392.382356</v>
      </c>
      <c r="J14" s="30" t="n">
        <f aca="false">J10*Assumptions!E14</f>
        <v>30072.222386192</v>
      </c>
    </row>
    <row r="15" customFormat="false" ht="15.75" hidden="false" customHeight="true" outlineLevel="0" collapsed="false">
      <c r="B15" s="19" t="s">
        <v>32</v>
      </c>
      <c r="C15" s="29" t="n">
        <f aca="false">Historical!C16</f>
        <v>16800</v>
      </c>
      <c r="D15" s="29" t="n">
        <f aca="false">Historical!D16</f>
        <v>18950</v>
      </c>
      <c r="E15" s="29" t="n">
        <f aca="false">Historical!E16</f>
        <v>20900</v>
      </c>
      <c r="F15" s="29" t="n">
        <f aca="false">Historical!F16</f>
        <v>22400</v>
      </c>
      <c r="G15" s="29" t="n">
        <f aca="false">Historical!G16</f>
        <v>23680</v>
      </c>
      <c r="H15" s="30" t="n">
        <f aca="false">H10*Assumptions!C12</f>
        <v>25168.09028</v>
      </c>
      <c r="I15" s="30" t="n">
        <f aca="false">I10*Assumptions!D12</f>
        <v>26790.7607872</v>
      </c>
      <c r="J15" s="30" t="n">
        <f aca="false">J10*Assumptions!E12</f>
        <v>28384.49561962</v>
      </c>
    </row>
    <row r="16" customFormat="false" ht="15.75" hidden="false" customHeight="true" outlineLevel="0" collapsed="false">
      <c r="B16" s="20" t="s">
        <v>73</v>
      </c>
      <c r="C16" s="35" t="n">
        <f aca="false">Historical!C19</f>
        <v>0.384079010539311</v>
      </c>
      <c r="D16" s="35" t="n">
        <f aca="false">Historical!D19</f>
        <v>0.362395058423056</v>
      </c>
      <c r="E16" s="35" t="n">
        <f aca="false">Historical!E19</f>
        <v>0.361042012161415</v>
      </c>
      <c r="F16" s="35" t="n">
        <f aca="false">Historical!F19</f>
        <v>0.365433871151932</v>
      </c>
      <c r="G16" s="35" t="n">
        <f aca="false">Historical!G19</f>
        <v>0.363558203089017</v>
      </c>
      <c r="H16" s="36" t="n">
        <f aca="false">H15/H10</f>
        <v>0.365</v>
      </c>
      <c r="I16" s="36" t="n">
        <f aca="false">I15/I10</f>
        <v>0.368</v>
      </c>
      <c r="J16" s="36" t="n">
        <f aca="false">J15/J10</f>
        <v>0.37</v>
      </c>
    </row>
    <row r="17" customFormat="false" ht="15.75" hidden="false" customHeight="true" outlineLevel="0" collapsed="false">
      <c r="B17" s="20" t="s">
        <v>34</v>
      </c>
      <c r="C17" s="29" t="n">
        <f aca="false">Historical!C18</f>
        <v>13032</v>
      </c>
      <c r="D17" s="29" t="n">
        <f aca="false">Historical!D18</f>
        <v>14550</v>
      </c>
      <c r="E17" s="29" t="n">
        <f aca="false">Historical!E18</f>
        <v>15232</v>
      </c>
      <c r="F17" s="29" t="n">
        <f aca="false">Historical!F18</f>
        <v>20458</v>
      </c>
      <c r="G17" s="29" t="n">
        <f aca="false">Historical!G18</f>
        <v>20459</v>
      </c>
      <c r="H17" s="31" t="n">
        <f aca="false">H10*Assumptions!C13</f>
        <v>21720.40668</v>
      </c>
      <c r="I17" s="31" t="n">
        <f aca="false">I10*Assumptions!D13</f>
        <v>23150.7117672</v>
      </c>
      <c r="J17" s="31" t="n">
        <f aca="false">J10*Assumptions!E13</f>
        <v>24548.75296832</v>
      </c>
    </row>
    <row r="18" customFormat="false" ht="15.75" hidden="false" customHeight="true" outlineLevel="0" collapsed="false">
      <c r="B18" s="19" t="s">
        <v>36</v>
      </c>
      <c r="C18" s="33" t="n">
        <f aca="false">C17/C10</f>
        <v>0.297935575318351</v>
      </c>
      <c r="D18" s="33" t="n">
        <f aca="false">D17/D10</f>
        <v>0.278250559369681</v>
      </c>
      <c r="E18" s="33" t="n">
        <f aca="false">E17/E10</f>
        <v>0.263365377965281</v>
      </c>
      <c r="F18" s="33" t="n">
        <f aca="false">F17/F10</f>
        <v>0.333752059644028</v>
      </c>
      <c r="G18" s="33" t="n">
        <f aca="false">G17/G10</f>
        <v>0.314106303927288</v>
      </c>
      <c r="H18" s="34" t="n">
        <f aca="false">H17/H10</f>
        <v>0.315</v>
      </c>
      <c r="I18" s="34" t="n">
        <f aca="false">I17/I10</f>
        <v>0.318</v>
      </c>
      <c r="J18" s="34" t="n">
        <f aca="false">J17/J10</f>
        <v>0.32</v>
      </c>
    </row>
    <row r="20" customFormat="false" ht="15.75" hidden="false" customHeight="true" outlineLevel="0" collapsed="false">
      <c r="B20" s="11" t="s">
        <v>74</v>
      </c>
      <c r="C20" s="11"/>
      <c r="D20" s="11"/>
      <c r="E20" s="11"/>
      <c r="F20" s="11"/>
      <c r="G20" s="11"/>
      <c r="H20" s="11"/>
      <c r="I20" s="11"/>
      <c r="J20" s="11"/>
    </row>
    <row r="21" customFormat="false" ht="15.75" hidden="false" customHeight="true" outlineLevel="0" collapsed="false">
      <c r="B21" s="19" t="s">
        <v>38</v>
      </c>
      <c r="C21" s="29" t="n">
        <f aca="false">Historical!C23</f>
        <v>59280</v>
      </c>
      <c r="D21" s="29" t="n">
        <f aca="false">Historical!D23</f>
        <v>65010</v>
      </c>
      <c r="E21" s="29" t="n">
        <f aca="false">Historical!E23</f>
        <v>72480</v>
      </c>
      <c r="F21" s="29" t="n">
        <f aca="false">Historical!F23</f>
        <v>79450</v>
      </c>
      <c r="G21" s="29" t="n">
        <f aca="false">Historical!G23</f>
        <v>86200</v>
      </c>
      <c r="H21" s="30" t="n">
        <f aca="false">Historical!G23*(1+Assumptions!C17)</f>
        <v>93096</v>
      </c>
      <c r="I21" s="30" t="n">
        <f aca="false">H21*(1+Assumptions!D17)</f>
        <v>100078.2</v>
      </c>
      <c r="J21" s="30" t="n">
        <f aca="false">I21*(1+Assumptions!E17)</f>
        <v>107083.674</v>
      </c>
    </row>
    <row r="22" customFormat="false" ht="15.75" hidden="false" customHeight="true" outlineLevel="0" collapsed="false">
      <c r="B22" s="19" t="s">
        <v>42</v>
      </c>
      <c r="C22" s="29" t="n">
        <f aca="false">Historical!C27</f>
        <v>46200</v>
      </c>
      <c r="D22" s="29" t="n">
        <f aca="false">Historical!D27</f>
        <v>51050</v>
      </c>
      <c r="E22" s="29" t="n">
        <f aca="false">Historical!E27</f>
        <v>57180</v>
      </c>
      <c r="F22" s="29" t="n">
        <f aca="false">Historical!F27</f>
        <v>63420</v>
      </c>
      <c r="G22" s="29" t="n">
        <f aca="false">Historical!G27</f>
        <v>69000</v>
      </c>
      <c r="H22" s="30" t="n">
        <f aca="false">Historical!G27*(1+Assumptions!C18)</f>
        <v>74175</v>
      </c>
      <c r="I22" s="30" t="n">
        <f aca="false">H22*(1+Assumptions!D18)</f>
        <v>79367.25</v>
      </c>
      <c r="J22" s="30" t="n">
        <f aca="false">I22*(1+Assumptions!E18)</f>
        <v>84526.12125</v>
      </c>
    </row>
    <row r="23" customFormat="false" ht="15.75" hidden="false" customHeight="true" outlineLevel="0" collapsed="false">
      <c r="B23" s="20" t="s">
        <v>75</v>
      </c>
      <c r="C23" s="35" t="n">
        <f aca="false">Historical!C28</f>
        <v>0.363636363636364</v>
      </c>
      <c r="D23" s="35" t="n">
        <f aca="false">Historical!D28</f>
        <v>0.371204701273262</v>
      </c>
      <c r="E23" s="35" t="n">
        <f aca="false">Historical!E28</f>
        <v>0.365512416928996</v>
      </c>
      <c r="F23" s="35" t="n">
        <f aca="false">Historical!F28</f>
        <v>0.353200883002208</v>
      </c>
      <c r="G23" s="35" t="n">
        <f aca="false">Historical!G28</f>
        <v>0.343188405797101</v>
      </c>
      <c r="H23" s="36" t="n">
        <f aca="false">H15/H22</f>
        <v>0.339306913110886</v>
      </c>
      <c r="I23" s="36" t="n">
        <f aca="false">I15/I22</f>
        <v>0.337554353807143</v>
      </c>
      <c r="J23" s="36" t="n">
        <f aca="false">J15/J22</f>
        <v>0.335807383562155</v>
      </c>
    </row>
  </sheetData>
  <mergeCells count="4">
    <mergeCell ref="B2:J2"/>
    <mergeCell ref="B4:J4"/>
    <mergeCell ref="B13:J13"/>
    <mergeCell ref="B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10" min="3" style="0" width="14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B2" s="8" t="s">
        <v>76</v>
      </c>
      <c r="C2" s="8"/>
      <c r="D2" s="8"/>
      <c r="E2" s="8"/>
      <c r="F2" s="8"/>
      <c r="G2" s="8"/>
      <c r="H2" s="8"/>
      <c r="I2" s="8"/>
      <c r="J2" s="8"/>
    </row>
    <row r="3" customFormat="false" ht="18" hidden="false" customHeight="true" outlineLevel="0" collapsed="false">
      <c r="B3" s="9" t="s">
        <v>77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28" t="s">
        <v>47</v>
      </c>
      <c r="I3" s="28" t="s">
        <v>48</v>
      </c>
      <c r="J3" s="28" t="s">
        <v>49</v>
      </c>
    </row>
    <row r="4" customFormat="false" ht="15.75" hidden="false" customHeight="true" outlineLevel="0" collapsed="false">
      <c r="B4" s="11" t="s">
        <v>78</v>
      </c>
      <c r="C4" s="11"/>
      <c r="D4" s="11"/>
      <c r="E4" s="11"/>
      <c r="F4" s="11"/>
      <c r="G4" s="11"/>
      <c r="H4" s="11"/>
      <c r="I4" s="11"/>
      <c r="J4" s="11"/>
    </row>
    <row r="5" customFormat="false" ht="15.75" hidden="false" customHeight="true" outlineLevel="0" collapsed="false">
      <c r="B5" s="19" t="s">
        <v>35</v>
      </c>
      <c r="C5" s="35" t="n">
        <f aca="false">Projections!C16</f>
        <v>0.384079010539311</v>
      </c>
      <c r="D5" s="35" t="n">
        <f aca="false">Projections!D16</f>
        <v>0.362395058423056</v>
      </c>
      <c r="E5" s="35" t="n">
        <f aca="false">Projections!E16</f>
        <v>0.361042012161415</v>
      </c>
      <c r="F5" s="35" t="n">
        <f aca="false">Projections!F16</f>
        <v>0.365433871151932</v>
      </c>
      <c r="G5" s="35" t="n">
        <f aca="false">Projections!G16</f>
        <v>0.363558203089017</v>
      </c>
      <c r="H5" s="34" t="n">
        <f aca="false">Projections!H16</f>
        <v>0.365</v>
      </c>
      <c r="I5" s="34" t="n">
        <f aca="false">Projections!I16</f>
        <v>0.368</v>
      </c>
      <c r="J5" s="34" t="n">
        <f aca="false">Projections!J16</f>
        <v>0.37</v>
      </c>
    </row>
    <row r="6" customFormat="false" ht="15.75" hidden="false" customHeight="true" outlineLevel="0" collapsed="false">
      <c r="B6" s="19" t="s">
        <v>36</v>
      </c>
      <c r="C6" s="35" t="n">
        <f aca="false">Projections!C17/Projections!C10</f>
        <v>0.297935575318351</v>
      </c>
      <c r="D6" s="35" t="n">
        <f aca="false">Projections!D17/Projections!D10</f>
        <v>0.278250559369681</v>
      </c>
      <c r="E6" s="35" t="n">
        <f aca="false">Projections!E17/Projections!E10</f>
        <v>0.263365377965281</v>
      </c>
      <c r="F6" s="35" t="n">
        <f aca="false">Projections!F17/Projections!F10</f>
        <v>0.333752059644028</v>
      </c>
      <c r="G6" s="35" t="n">
        <f aca="false">Projections!G17/Projections!G10</f>
        <v>0.314106303927288</v>
      </c>
      <c r="H6" s="34" t="n">
        <f aca="false">Projections!H17/Projections!H10</f>
        <v>0.315</v>
      </c>
      <c r="I6" s="34" t="n">
        <f aca="false">Projections!I17/Projections!I10</f>
        <v>0.318</v>
      </c>
      <c r="J6" s="34" t="n">
        <f aca="false">Projections!J17/Projections!J10</f>
        <v>0.32</v>
      </c>
    </row>
    <row r="7" customFormat="false" ht="15.75" hidden="false" customHeight="true" outlineLevel="0" collapsed="false">
      <c r="B7" s="19" t="s">
        <v>79</v>
      </c>
      <c r="C7" s="35" t="n">
        <f aca="false">Projections!C23</f>
        <v>0.363636363636364</v>
      </c>
      <c r="D7" s="35" t="n">
        <f aca="false">Projections!D23</f>
        <v>0.371204701273262</v>
      </c>
      <c r="E7" s="35" t="n">
        <f aca="false">Projections!E23</f>
        <v>0.365512416928996</v>
      </c>
      <c r="F7" s="35" t="n">
        <f aca="false">Projections!F23</f>
        <v>0.353200883002208</v>
      </c>
      <c r="G7" s="35" t="n">
        <f aca="false">Projections!G23</f>
        <v>0.343188405797101</v>
      </c>
      <c r="H7" s="34" t="n">
        <f aca="false">Projections!H23</f>
        <v>0.339306913110886</v>
      </c>
      <c r="I7" s="34" t="n">
        <f aca="false">Projections!I23</f>
        <v>0.337554353807143</v>
      </c>
      <c r="J7" s="34" t="n">
        <f aca="false">Projections!J23</f>
        <v>0.335807383562155</v>
      </c>
    </row>
    <row r="8" customFormat="false" ht="15.75" hidden="false" customHeight="true" outlineLevel="0" collapsed="false">
      <c r="B8" s="19" t="s">
        <v>80</v>
      </c>
      <c r="C8" s="29" t="n">
        <f aca="false">Projections!C10</f>
        <v>43741</v>
      </c>
      <c r="D8" s="29" t="n">
        <f aca="false">Projections!D10</f>
        <v>52291</v>
      </c>
      <c r="E8" s="29" t="n">
        <f aca="false">Projections!E10</f>
        <v>57836</v>
      </c>
      <c r="F8" s="29" t="n">
        <f aca="false">Projections!F10</f>
        <v>61297</v>
      </c>
      <c r="G8" s="29" t="n">
        <f aca="false">Projections!G10</f>
        <v>65134</v>
      </c>
      <c r="H8" s="30" t="n">
        <f aca="false">Projections!H10</f>
        <v>68953.672</v>
      </c>
      <c r="I8" s="30" t="n">
        <f aca="false">Projections!I10</f>
        <v>72800.9804</v>
      </c>
      <c r="J8" s="30" t="n">
        <f aca="false">Projections!J10</f>
        <v>76714.853026</v>
      </c>
    </row>
    <row r="9" customFormat="false" ht="15.75" hidden="false" customHeight="true" outlineLevel="0" collapsed="false">
      <c r="B9" s="19" t="s">
        <v>81</v>
      </c>
      <c r="C9" s="29" t="n">
        <f aca="false">Projections!C15</f>
        <v>16800</v>
      </c>
      <c r="D9" s="29" t="n">
        <f aca="false">Projections!D15</f>
        <v>18950</v>
      </c>
      <c r="E9" s="29" t="n">
        <f aca="false">Projections!E15</f>
        <v>20900</v>
      </c>
      <c r="F9" s="29" t="n">
        <f aca="false">Projections!F15</f>
        <v>22400</v>
      </c>
      <c r="G9" s="29" t="n">
        <f aca="false">Projections!G15</f>
        <v>23680</v>
      </c>
      <c r="H9" s="30" t="n">
        <f aca="false">Projections!H15</f>
        <v>25168.09028</v>
      </c>
      <c r="I9" s="30" t="n">
        <f aca="false">Projections!I15</f>
        <v>26790.7607872</v>
      </c>
      <c r="J9" s="30" t="n">
        <f aca="false">Projections!J15</f>
        <v>28384.49561962</v>
      </c>
    </row>
    <row r="10" customFormat="false" ht="15.75" hidden="false" customHeight="true" outlineLevel="0" collapsed="false">
      <c r="B10" s="19" t="s">
        <v>82</v>
      </c>
      <c r="C10" s="29" t="n">
        <f aca="false">Projections!C17</f>
        <v>13032</v>
      </c>
      <c r="D10" s="29" t="n">
        <f aca="false">Projections!D17</f>
        <v>14550</v>
      </c>
      <c r="E10" s="29" t="n">
        <f aca="false">Projections!E17</f>
        <v>15232</v>
      </c>
      <c r="F10" s="29" t="n">
        <f aca="false">Projections!F17</f>
        <v>20458</v>
      </c>
      <c r="G10" s="29" t="n">
        <f aca="false">Projections!G17</f>
        <v>20459</v>
      </c>
      <c r="H10" s="30" t="n">
        <f aca="false">Projections!H17</f>
        <v>21720.40668</v>
      </c>
      <c r="I10" s="30" t="n">
        <f aca="false">Projections!I17</f>
        <v>23150.7117672</v>
      </c>
      <c r="J10" s="30" t="n">
        <f aca="false">Projections!J17</f>
        <v>24548.75296832</v>
      </c>
    </row>
    <row r="11" customFormat="false" ht="15.75" hidden="false" customHeight="true" outlineLevel="0" collapsed="false">
      <c r="B11" s="19" t="s">
        <v>83</v>
      </c>
      <c r="C11" s="37" t="n">
        <f aca="false">Projections!C10/Projections!C21</f>
        <v>0.737871120107962</v>
      </c>
      <c r="D11" s="37" t="n">
        <f aca="false">Projections!D10/Projections!D21</f>
        <v>0.804353176434395</v>
      </c>
      <c r="E11" s="37" t="n">
        <f aca="false">Projections!E10/Projections!E21</f>
        <v>0.797958057395144</v>
      </c>
      <c r="F11" s="37" t="n">
        <f aca="false">Projections!F10/Projections!F21</f>
        <v>0.771516677155444</v>
      </c>
      <c r="G11" s="37" t="n">
        <f aca="false">Projections!G10/Projections!G21</f>
        <v>0.755614849187935</v>
      </c>
      <c r="H11" s="38" t="n">
        <f aca="false">Projections!H10/Projections!H21</f>
        <v>0.740672767895506</v>
      </c>
      <c r="I11" s="38" t="n">
        <f aca="false">Projections!I10/Projections!I21</f>
        <v>0.727440945180869</v>
      </c>
      <c r="J11" s="38" t="n">
        <f aca="false">Projections!J10/Projections!J21</f>
        <v>0.716401017637852</v>
      </c>
    </row>
  </sheetData>
  <mergeCells count="2">
    <mergeCell ref="B2:J2"/>
    <mergeCell ref="B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2"/>
  </cols>
  <sheetData>
    <row r="1" customFormat="false" ht="7.5" hidden="false" customHeight="true" outlineLevel="0" collapsed="false">
      <c r="A1" s="1"/>
      <c r="B1" s="1"/>
      <c r="C1" s="1"/>
      <c r="D1" s="1"/>
    </row>
    <row r="2" customFormat="false" ht="30" hidden="false" customHeight="true" outlineLevel="0" collapsed="false">
      <c r="B2" s="8" t="s">
        <v>84</v>
      </c>
      <c r="C2" s="8"/>
    </row>
    <row r="3" customFormat="false" ht="18" hidden="false" customHeight="true" outlineLevel="0" collapsed="false">
      <c r="B3" s="10" t="s">
        <v>85</v>
      </c>
      <c r="C3" s="10" t="s">
        <v>86</v>
      </c>
    </row>
    <row r="4" customFormat="false" ht="48" hidden="false" customHeight="true" outlineLevel="0" collapsed="false">
      <c r="B4" s="39" t="s">
        <v>87</v>
      </c>
      <c r="C4" s="40" t="s">
        <v>88</v>
      </c>
    </row>
    <row r="5" customFormat="false" ht="48" hidden="false" customHeight="true" outlineLevel="0" collapsed="false">
      <c r="B5" s="41" t="s">
        <v>89</v>
      </c>
      <c r="C5" s="42" t="s">
        <v>90</v>
      </c>
    </row>
    <row r="6" customFormat="false" ht="48" hidden="false" customHeight="true" outlineLevel="0" collapsed="false">
      <c r="B6" s="39" t="s">
        <v>91</v>
      </c>
      <c r="C6" s="40" t="s">
        <v>92</v>
      </c>
    </row>
    <row r="7" customFormat="false" ht="48" hidden="false" customHeight="true" outlineLevel="0" collapsed="false">
      <c r="B7" s="41" t="s">
        <v>93</v>
      </c>
      <c r="C7" s="42" t="s">
        <v>94</v>
      </c>
    </row>
    <row r="8" customFormat="false" ht="48" hidden="false" customHeight="true" outlineLevel="0" collapsed="false">
      <c r="B8" s="39" t="s">
        <v>95</v>
      </c>
      <c r="C8" s="40" t="s">
        <v>96</v>
      </c>
    </row>
    <row r="9" customFormat="false" ht="48" hidden="false" customHeight="true" outlineLevel="0" collapsed="false">
      <c r="B9" s="41" t="s">
        <v>97</v>
      </c>
      <c r="C9" s="42" t="s">
        <v>98</v>
      </c>
    </row>
    <row r="11" customFormat="false" ht="15.75" hidden="false" customHeight="true" outlineLevel="0" collapsed="false">
      <c r="B11" s="16" t="s">
        <v>99</v>
      </c>
      <c r="C11" s="16"/>
    </row>
  </sheetData>
  <mergeCells count="2">
    <mergeCell ref="B2:C2"/>
    <mergeCell ref="B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2026-06-27T15:06:30Z</dcterms:created>
  <dc:creator>openpyxl</dc:creator>
  <dc:description/>
  <dc:language>en-US</dc:language>
  <cp:lastModifiedBy/>
  <dcterms:modified xsi:type="dcterms:W3CDTF">2026-06-27T15:06:30Z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